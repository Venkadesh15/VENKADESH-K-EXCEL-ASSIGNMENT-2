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ENTRI ELEVATE DOCUMENTS\EXCEL COURSE\"/>
    </mc:Choice>
  </mc:AlternateContent>
  <xr:revisionPtr revIDLastSave="0" documentId="13_ncr:1_{98CCDC8A-F4B0-490B-9ADF-79728FCE73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BodJfdMhecajOq6LlLlgHL1ilCo0qenb8UNpbolXvAE="/>
    </ext>
  </extLst>
</workbook>
</file>

<file path=xl/calcChain.xml><?xml version="1.0" encoding="utf-8"?>
<calcChain xmlns="http://schemas.openxmlformats.org/spreadsheetml/2006/main">
  <c r="P20" i="1" l="1"/>
  <c r="P11" i="1"/>
  <c r="P1" i="1"/>
  <c r="P37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2" i="1"/>
  <c r="P39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8" i="1"/>
  <c r="L3" i="1"/>
  <c r="L4" i="1"/>
  <c r="L5" i="1"/>
  <c r="L6" i="1"/>
  <c r="L7" i="1"/>
  <c r="L2" i="1"/>
  <c r="P30" i="1"/>
  <c r="P13" i="1"/>
  <c r="P1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2" i="1"/>
  <c r="J2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" i="1"/>
  <c r="J4" i="1"/>
  <c r="J5" i="1"/>
  <c r="J6" i="1"/>
  <c r="J7" i="1"/>
</calcChain>
</file>

<file path=xl/sharedStrings.xml><?xml version="1.0" encoding="utf-8"?>
<sst xmlns="http://schemas.openxmlformats.org/spreadsheetml/2006/main" count="209" uniqueCount="138">
  <si>
    <t>Product Name</t>
  </si>
  <si>
    <t>Brand Name</t>
  </si>
  <si>
    <t>Price ($)</t>
  </si>
  <si>
    <t>Quantity</t>
  </si>
  <si>
    <t>Category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</si>
  <si>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</si>
  <si>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</si>
  <si>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</si>
  <si>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</si>
  <si>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</si>
  <si>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</si>
  <si>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</si>
  <si>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</si>
  <si>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Samsung</t>
  </si>
  <si>
    <t>Backpack</t>
  </si>
  <si>
    <t>North Face</t>
  </si>
  <si>
    <t>Headphones</t>
  </si>
  <si>
    <t>Sony</t>
  </si>
  <si>
    <t>T-shirt</t>
  </si>
  <si>
    <t>Adidas</t>
  </si>
  <si>
    <t>Blender</t>
  </si>
  <si>
    <t>Ninja</t>
  </si>
  <si>
    <t>Tablet</t>
  </si>
  <si>
    <t>Apple</t>
  </si>
  <si>
    <t>Hiking Boots</t>
  </si>
  <si>
    <t>Timberland</t>
  </si>
  <si>
    <t>Outdoor</t>
  </si>
  <si>
    <t>Laptop</t>
  </si>
  <si>
    <t>HP</t>
  </si>
  <si>
    <t>Nespresso</t>
  </si>
  <si>
    <t>Smartwatch</t>
  </si>
  <si>
    <t>Fitbit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</si>
  <si>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</si>
  <si>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</si>
  <si>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</si>
  <si>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</si>
  <si>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</si>
  <si>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</si>
  <si>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</si>
  <si>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</si>
  <si>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</si>
  <si>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</si>
  <si>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</si>
  <si>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</si>
  <si>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</si>
  <si>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</si>
  <si>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</si>
  <si>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</si>
  <si>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Smartphone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</si>
  <si>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</si>
  <si>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</si>
  <si>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</si>
  <si>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</si>
  <si>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</si>
  <si>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</si>
  <si>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</si>
  <si>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</si>
  <si>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</si>
  <si>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</si>
  <si>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</si>
  <si>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</si>
  <si>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1)</t>
  </si>
  <si>
    <t>1.1)</t>
  </si>
  <si>
    <t xml:space="preserve">PRICE MISSING HANDLING </t>
  </si>
  <si>
    <t>PRICE ($)</t>
  </si>
  <si>
    <t>1.2)</t>
  </si>
  <si>
    <t>CATEGORY MISSING HANDLING</t>
  </si>
  <si>
    <t>CONVERT GENERAL TO ACCOUNTING</t>
  </si>
  <si>
    <t>CATEGORY</t>
  </si>
  <si>
    <t>CONVERT GENERAL TO TEXT</t>
  </si>
  <si>
    <t>2)</t>
  </si>
  <si>
    <t>2.1)</t>
  </si>
  <si>
    <t>BY IDENTIFED THE TYPOS OF CATEGORY IS (TEXT)</t>
  </si>
  <si>
    <t>2.2)</t>
  </si>
  <si>
    <t>2.3)</t>
  </si>
  <si>
    <t>IN THIS COLUMN WE GET</t>
  </si>
  <si>
    <t>laptop,smartphone,headphones</t>
  </si>
  <si>
    <t>laptop - Laptop, smartphone - Smartphone, headphones - Headphones</t>
  </si>
  <si>
    <r>
      <rPr>
        <b/>
        <sz val="10"/>
        <color rgb="FF000000"/>
        <rFont val="Times New Roman"/>
        <family val="1"/>
      </rPr>
      <t>BY FIND AND REPLACE</t>
    </r>
    <r>
      <rPr>
        <b/>
        <sz val="10"/>
        <color rgb="FF000000"/>
        <rFont val="Arial"/>
        <family val="2"/>
        <scheme val="minor"/>
      </rPr>
      <t xml:space="preserve"> </t>
    </r>
  </si>
  <si>
    <t xml:space="preserve">Electroni - Electronics </t>
  </si>
  <si>
    <t>3)</t>
  </si>
  <si>
    <t>REMOVING  DUPLICATES</t>
  </si>
  <si>
    <t>3.1)</t>
  </si>
  <si>
    <t>REMOVE DUPLICATES IN ENTIRE TABLE</t>
  </si>
  <si>
    <t>4)</t>
  </si>
  <si>
    <t>4.1)</t>
  </si>
  <si>
    <t>4.1.2)Country Code</t>
  </si>
  <si>
    <t>Manufacturing Date</t>
  </si>
  <si>
    <t>Country Code</t>
  </si>
  <si>
    <t>JAN</t>
  </si>
  <si>
    <t>US</t>
  </si>
  <si>
    <t>FEB</t>
  </si>
  <si>
    <t>MAR</t>
  </si>
  <si>
    <t>APR</t>
  </si>
  <si>
    <t>MAY</t>
  </si>
  <si>
    <t>JUN</t>
  </si>
  <si>
    <t>UK</t>
  </si>
  <si>
    <t>JUL</t>
  </si>
  <si>
    <t>AUG</t>
  </si>
  <si>
    <t>SEP</t>
  </si>
  <si>
    <t>OCT</t>
  </si>
  <si>
    <t>IN</t>
  </si>
  <si>
    <t>NOV</t>
  </si>
  <si>
    <t>AU</t>
  </si>
  <si>
    <t>DEC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</si>
  <si>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</si>
  <si>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</si>
  <si>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</si>
  <si>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</si>
  <si>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</si>
  <si>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</si>
  <si>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</si>
  <si>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</si>
  <si>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</si>
  <si>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4.2)</t>
  </si>
  <si>
    <t>SPLITTING (PRODUCT ID) INTO TWO COLUMNS</t>
  </si>
  <si>
    <t>MERGEING TWO COLUMNS</t>
  </si>
  <si>
    <t xml:space="preserve">DATE </t>
  </si>
  <si>
    <t>MONTH</t>
  </si>
  <si>
    <t>5)</t>
  </si>
  <si>
    <t>5.1)</t>
  </si>
  <si>
    <t>CHANGE DATA TYPE OF (PRICE) TO CURRENCY FORMAT</t>
  </si>
  <si>
    <t>ACCOUNTING TO CURRENCY FORMAT</t>
  </si>
  <si>
    <t>5.2)</t>
  </si>
  <si>
    <t>MANUFACTURING DATE DATE FORMAT</t>
  </si>
  <si>
    <r>
      <rPr>
        <b/>
        <sz val="10"/>
        <color rgb="FF000000"/>
        <rFont val="Times New Roman"/>
        <family val="1"/>
      </rPr>
      <t>MANIFACTURING DATE</t>
    </r>
    <r>
      <rPr>
        <sz val="10"/>
        <color rgb="FF000000"/>
        <rFont val="Times New Roman"/>
        <family val="1"/>
      </rPr>
      <t xml:space="preserve"> FORMATE - </t>
    </r>
    <r>
      <rPr>
        <b/>
        <sz val="10"/>
        <color rgb="FF000000"/>
        <rFont val="Times New Roman"/>
        <family val="1"/>
      </rPr>
      <t>DD-MM-YYYY</t>
    </r>
  </si>
  <si>
    <t>6)</t>
  </si>
  <si>
    <t>CONDITIONAL FORMATTING</t>
  </si>
  <si>
    <t>6.1)</t>
  </si>
  <si>
    <t>APPLYING CONDITIONAL FORMATTING IN PRICE COLUMN</t>
  </si>
  <si>
    <t>4.1.1)Manufacturing Date and Month</t>
  </si>
  <si>
    <r>
      <t xml:space="preserve">APPLIED </t>
    </r>
    <r>
      <rPr>
        <b/>
        <sz val="10"/>
        <color rgb="FF000000"/>
        <rFont val="Times New Roman"/>
        <family val="1"/>
      </rPr>
      <t>COLOR SCALE</t>
    </r>
    <r>
      <rPr>
        <sz val="10"/>
        <color rgb="FF000000"/>
        <rFont val="Times New Roman"/>
        <family val="1"/>
      </rPr>
      <t xml:space="preserve"> IN </t>
    </r>
    <r>
      <rPr>
        <b/>
        <sz val="10"/>
        <color rgb="FF000000"/>
        <rFont val="Times New Roman"/>
        <family val="1"/>
      </rPr>
      <t>PRICE</t>
    </r>
  </si>
  <si>
    <t>6.2)</t>
  </si>
  <si>
    <t xml:space="preserve">CREATED CUSTOM RULE </t>
  </si>
  <si>
    <r>
      <t>CREATING CUSTOM RULE IN CATEGORY COLUMN TO HIGHLIGHT "</t>
    </r>
    <r>
      <rPr>
        <b/>
        <sz val="12"/>
        <color rgb="FF000000"/>
        <rFont val="Times New Roman"/>
        <family val="1"/>
      </rPr>
      <t>Electronics</t>
    </r>
    <r>
      <rPr>
        <b/>
        <sz val="10"/>
        <color rgb="FF000000"/>
        <rFont val="Times New Roman"/>
        <family val="1"/>
      </rPr>
      <t>"</t>
    </r>
  </si>
  <si>
    <r>
      <rPr>
        <sz val="12"/>
        <color rgb="FF000000"/>
        <rFont val="Times New Roman"/>
        <family val="1"/>
      </rPr>
      <t>Category</t>
    </r>
    <r>
      <rPr>
        <sz val="10"/>
        <color rgb="FF000000"/>
        <rFont val="Arial"/>
        <family val="2"/>
        <scheme val="minor"/>
      </rPr>
      <t xml:space="preserve"> -</t>
    </r>
    <r>
      <rPr>
        <sz val="10"/>
        <color rgb="FF000000"/>
        <rFont val="Times New Roman"/>
        <family val="1"/>
      </rPr>
      <t xml:space="preserve"> CATEGORY TO USE </t>
    </r>
    <r>
      <rPr>
        <b/>
        <sz val="10"/>
        <color rgb="FF000000"/>
        <rFont val="Times New Roman"/>
        <family val="1"/>
      </rPr>
      <t xml:space="preserve">(IF&amp;ISBLANK) </t>
    </r>
    <r>
      <rPr>
        <sz val="10"/>
        <color rgb="FF000000"/>
        <rFont val="Times New Roman"/>
        <family val="1"/>
      </rPr>
      <t xml:space="preserve">By </t>
    </r>
    <r>
      <rPr>
        <b/>
        <sz val="10"/>
        <color rgb="FF000000"/>
        <rFont val="Times New Roman"/>
        <family val="1"/>
      </rPr>
      <t>GROUP BY</t>
    </r>
  </si>
  <si>
    <r>
      <rPr>
        <sz val="12"/>
        <color theme="1"/>
        <rFont val="Times New Roman"/>
        <family val="1"/>
      </rPr>
      <t xml:space="preserve">Price </t>
    </r>
    <r>
      <rPr>
        <sz val="10"/>
        <color theme="1"/>
        <rFont val="Times New Roman"/>
        <family val="1"/>
      </rPr>
      <t>($) - PRICE ($) TO USE</t>
    </r>
    <r>
      <rPr>
        <b/>
        <sz val="10"/>
        <color theme="1"/>
        <rFont val="Times New Roman"/>
        <family val="1"/>
      </rPr>
      <t>( IF&amp;ISBLANK&amp;ROUND )</t>
    </r>
  </si>
  <si>
    <r>
      <t xml:space="preserve">      BY USING </t>
    </r>
    <r>
      <rPr>
        <b/>
        <sz val="10"/>
        <color rgb="FF000000"/>
        <rFont val="Times New Roman"/>
        <family val="1"/>
      </rPr>
      <t>REMOVE DUPLICATES</t>
    </r>
    <r>
      <rPr>
        <sz val="10"/>
        <color rgb="FF000000"/>
        <rFont val="Times New Roman"/>
        <family val="1"/>
      </rPr>
      <t xml:space="preserve"> FEATURE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</si>
</sst>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22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theme="1"/>
      <name val="Times New Roman"/>
      <family val="1"/>
    </font>
    <font>
      <sz val="9"/>
      <color rgb="FF000000"/>
      <name val="Times New Roman"/>
      <family val="1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Times New Roman"/>
      <family val="1"/>
    </font>
    <font>
      <sz val="10"/>
      <color rgb="FF000000"/>
      <name val="Arial"/>
      <family val="1"/>
      <scheme val="minor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10"/>
      <color rgb="FF000000"/>
      <name val="Arial"/>
      <family val="1"/>
      <scheme val="minor"/>
    </font>
    <font>
      <sz val="8"/>
      <name val="Arial"/>
      <family val="2"/>
      <scheme val="minor"/>
    </font>
    <font>
      <sz val="11.5"/>
      <color rgb="FF000000"/>
      <name val="Times New Roman"/>
      <family val="1"/>
    </font>
    <font>
      <sz val="12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7" tint="0.39997558519241921"/>
        <bgColor rgb="FF4DD0E1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49" fontId="1" fillId="2" borderId="0" xfId="0" applyNumberFormat="1" applyFont="1" applyFill="1" applyAlignment="1">
      <alignment horizontal="center"/>
    </xf>
    <xf numFmtId="49" fontId="2" fillId="0" borderId="0" xfId="0" applyNumberFormat="1" applyFont="1" applyAlignment="1">
      <alignment horizontal="center"/>
    </xf>
    <xf numFmtId="49" fontId="2" fillId="3" borderId="0" xfId="0" applyNumberFormat="1" applyFont="1" applyFill="1" applyAlignment="1">
      <alignment horizontal="center"/>
    </xf>
    <xf numFmtId="49" fontId="0" fillId="0" borderId="0" xfId="0" applyNumberFormat="1" applyAlignment="1">
      <alignment horizontal="center"/>
    </xf>
    <xf numFmtId="0" fontId="4" fillId="4" borderId="0" xfId="0" applyFont="1" applyFill="1" applyAlignment="1">
      <alignment horizontal="center"/>
    </xf>
    <xf numFmtId="164" fontId="2" fillId="0" borderId="0" xfId="0" applyNumberFormat="1" applyFont="1" applyAlignment="1">
      <alignment horizontal="center"/>
    </xf>
    <xf numFmtId="164" fontId="2" fillId="3" borderId="0" xfId="0" applyNumberFormat="1" applyFont="1" applyFill="1" applyAlignment="1">
      <alignment horizontal="center"/>
    </xf>
    <xf numFmtId="164" fontId="0" fillId="0" borderId="0" xfId="0" applyNumberFormat="1" applyAlignment="1">
      <alignment horizontal="center"/>
    </xf>
    <xf numFmtId="44" fontId="1" fillId="2" borderId="0" xfId="0" applyNumberFormat="1" applyFont="1" applyFill="1" applyAlignment="1">
      <alignment horizontal="center"/>
    </xf>
    <xf numFmtId="44" fontId="2" fillId="0" borderId="0" xfId="0" applyNumberFormat="1" applyFont="1" applyAlignment="1">
      <alignment horizontal="center"/>
    </xf>
    <xf numFmtId="44" fontId="2" fillId="3" borderId="0" xfId="0" applyNumberFormat="1" applyFont="1" applyFill="1" applyAlignment="1">
      <alignment horizontal="center"/>
    </xf>
    <xf numFmtId="44" fontId="0" fillId="0" borderId="0" xfId="0" applyNumberFormat="1" applyAlignment="1">
      <alignment horizontal="center"/>
    </xf>
    <xf numFmtId="44" fontId="3" fillId="3" borderId="0" xfId="0" applyNumberFormat="1" applyFont="1" applyFill="1" applyAlignment="1">
      <alignment horizontal="center"/>
    </xf>
    <xf numFmtId="1" fontId="2" fillId="3" borderId="0" xfId="0" applyNumberFormat="1" applyFont="1" applyFill="1" applyAlignment="1">
      <alignment horizontal="center"/>
    </xf>
    <xf numFmtId="44" fontId="7" fillId="2" borderId="0" xfId="0" applyNumberFormat="1" applyFont="1" applyFill="1" applyAlignment="1">
      <alignment horizontal="center"/>
    </xf>
    <xf numFmtId="1" fontId="0" fillId="0" borderId="0" xfId="0" applyNumberFormat="1"/>
    <xf numFmtId="49" fontId="3" fillId="3" borderId="0" xfId="0" applyNumberFormat="1" applyFont="1" applyFill="1" applyAlignment="1">
      <alignment horizontal="center"/>
    </xf>
    <xf numFmtId="0" fontId="14" fillId="0" borderId="0" xfId="0" applyFont="1"/>
    <xf numFmtId="49" fontId="7" fillId="2" borderId="0" xfId="0" applyNumberFormat="1" applyFont="1" applyFill="1" applyAlignment="1">
      <alignment horizontal="center"/>
    </xf>
    <xf numFmtId="0" fontId="17" fillId="5" borderId="0" xfId="0" applyFont="1" applyFill="1"/>
    <xf numFmtId="0" fontId="10" fillId="5" borderId="0" xfId="0" applyFont="1" applyFill="1" applyAlignment="1">
      <alignment horizontal="center"/>
    </xf>
    <xf numFmtId="0" fontId="9" fillId="5" borderId="0" xfId="0" applyFont="1" applyFill="1" applyAlignment="1">
      <alignment horizontal="center"/>
    </xf>
    <xf numFmtId="0" fontId="10" fillId="5" borderId="0" xfId="0" applyFont="1" applyFill="1"/>
    <xf numFmtId="14" fontId="2" fillId="0" borderId="0" xfId="0" applyNumberFormat="1" applyFont="1" applyAlignment="1">
      <alignment horizontal="center"/>
    </xf>
    <xf numFmtId="14" fontId="2" fillId="3" borderId="0" xfId="0" applyNumberFormat="1" applyFont="1" applyFill="1" applyAlignment="1">
      <alignment horizont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49" fontId="0" fillId="0" borderId="0" xfId="0" applyNumberFormat="1"/>
    <xf numFmtId="1" fontId="1" fillId="2" borderId="0" xfId="0" applyNumberFormat="1" applyFont="1" applyFill="1" applyAlignment="1">
      <alignment horizontal="center"/>
    </xf>
    <xf numFmtId="1" fontId="2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7" fillId="2" borderId="0" xfId="0" applyNumberFormat="1" applyFont="1" applyFill="1" applyAlignment="1">
      <alignment horizontal="center"/>
    </xf>
    <xf numFmtId="164" fontId="7" fillId="2" borderId="0" xfId="0" applyNumberFormat="1" applyFont="1" applyFill="1" applyAlignment="1">
      <alignment horizontal="center"/>
    </xf>
    <xf numFmtId="164" fontId="3" fillId="3" borderId="0" xfId="0" applyNumberFormat="1" applyFont="1" applyFill="1" applyAlignment="1">
      <alignment horizontal="center"/>
    </xf>
    <xf numFmtId="164" fontId="0" fillId="0" borderId="0" xfId="0" applyNumberFormat="1"/>
    <xf numFmtId="14" fontId="7" fillId="2" borderId="0" xfId="0" applyNumberFormat="1" applyFont="1" applyFill="1" applyAlignment="1">
      <alignment horizontal="center"/>
    </xf>
    <xf numFmtId="0" fontId="5" fillId="6" borderId="0" xfId="0" applyFont="1" applyFill="1"/>
    <xf numFmtId="0" fontId="12" fillId="6" borderId="0" xfId="0" applyFont="1" applyFill="1"/>
    <xf numFmtId="0" fontId="2" fillId="6" borderId="0" xfId="0" applyFont="1" applyFill="1"/>
    <xf numFmtId="0" fontId="6" fillId="6" borderId="0" xfId="0" applyFont="1" applyFill="1"/>
    <xf numFmtId="0" fontId="13" fillId="6" borderId="0" xfId="0" applyFont="1" applyFill="1"/>
    <xf numFmtId="0" fontId="10" fillId="6" borderId="0" xfId="0" applyFont="1" applyFill="1"/>
    <xf numFmtId="0" fontId="11" fillId="6" borderId="0" xfId="0" applyFont="1" applyFill="1"/>
    <xf numFmtId="0" fontId="0" fillId="6" borderId="0" xfId="0" applyFill="1"/>
    <xf numFmtId="0" fontId="15" fillId="6" borderId="0" xfId="0" applyFont="1" applyFill="1"/>
    <xf numFmtId="0" fontId="9" fillId="6" borderId="0" xfId="0" applyFont="1" applyFill="1"/>
    <xf numFmtId="0" fontId="14" fillId="6" borderId="0" xfId="0" applyFont="1" applyFill="1"/>
    <xf numFmtId="0" fontId="20" fillId="6" borderId="0" xfId="0" applyFont="1" applyFill="1"/>
    <xf numFmtId="0" fontId="18" fillId="6" borderId="0" xfId="0" applyFont="1" applyFill="1"/>
    <xf numFmtId="0" fontId="8" fillId="6" borderId="0" xfId="0" applyFont="1" applyFill="1"/>
  </cellXfs>
  <cellStyles count="1">
    <cellStyle name="Normal" xfId="0" builtinId="0"/>
  </cellStyles>
  <dxfs count="7"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1000"/>
  <sheetViews>
    <sheetView tabSelected="1" topLeftCell="G4" zoomScale="85" zoomScaleNormal="85" workbookViewId="0">
      <selection activeCell="P53" sqref="P53"/>
    </sheetView>
  </sheetViews>
  <sheetFormatPr defaultColWidth="12.6640625" defaultRowHeight="15" customHeight="1" x14ac:dyDescent="0.25"/>
  <cols>
    <col min="1" max="1" width="18.21875" style="28" bestFit="1" customWidth="1"/>
    <col min="2" max="2" width="18.21875" style="32" bestFit="1" customWidth="1"/>
    <col min="3" max="3" width="12.6640625" style="5"/>
    <col min="4" max="4" width="13.33203125" style="5" bestFit="1" customWidth="1"/>
    <col min="5" max="6" width="12.6640625" style="5"/>
    <col min="7" max="7" width="12.6640625" style="13"/>
    <col min="8" max="8" width="12.6640625" style="32"/>
    <col min="9" max="9" width="12.6640625" style="5"/>
    <col min="10" max="10" width="12.6640625" style="9"/>
    <col min="11" max="11" width="12.5546875" style="5" bestFit="1" customWidth="1"/>
    <col min="12" max="12" width="22.77734375" style="13" bestFit="1" customWidth="1"/>
    <col min="16" max="16" width="82.5546875" bestFit="1" customWidth="1"/>
  </cols>
  <sheetData>
    <row r="1" spans="1:22" ht="15.75" customHeight="1" x14ac:dyDescent="0.3">
      <c r="A1" s="37" t="s">
        <v>87</v>
      </c>
      <c r="B1" s="33" t="s">
        <v>117</v>
      </c>
      <c r="C1" s="20" t="s">
        <v>118</v>
      </c>
      <c r="D1" s="2" t="s">
        <v>88</v>
      </c>
      <c r="E1" s="20" t="s">
        <v>0</v>
      </c>
      <c r="F1" s="2" t="s">
        <v>1</v>
      </c>
      <c r="G1" s="10" t="s">
        <v>2</v>
      </c>
      <c r="H1" s="30" t="s">
        <v>3</v>
      </c>
      <c r="I1" s="2" t="s">
        <v>4</v>
      </c>
      <c r="J1" s="34" t="s">
        <v>64</v>
      </c>
      <c r="K1" s="20" t="s">
        <v>68</v>
      </c>
      <c r="L1" s="16" t="s">
        <v>113</v>
      </c>
      <c r="O1" s="6" t="s">
        <v>61</v>
      </c>
      <c r="P1" s="21" t="str">
        <f>UPPER("Handling Missing Values")</f>
        <v>HANDLING MISSING VALUES</v>
      </c>
    </row>
    <row r="2" spans="1:22" ht="15.75" customHeight="1" x14ac:dyDescent="0.25">
      <c r="A2" s="25">
        <f>DATE(2026,MONTH(DATEVALUE(C2&amp;" 1")),B2)</f>
        <v>46050</v>
      </c>
      <c r="B2" s="31">
        <v>28</v>
      </c>
      <c r="C2" s="3" t="s">
        <v>89</v>
      </c>
      <c r="D2" s="3" t="s">
        <v>90</v>
      </c>
      <c r="E2" s="3" t="s">
        <v>27</v>
      </c>
      <c r="F2" s="3" t="s">
        <v>5</v>
      </c>
      <c r="G2" s="11">
        <v>1000</v>
      </c>
      <c r="H2" s="31">
        <v>30</v>
      </c>
      <c r="I2" s="3" t="s">
        <v>6</v>
      </c>
      <c r="J2" s="7">
        <f>IF(ISBLANK(G2),ROUND(AVERAGE($G$2:$G$35),0),G2)</f>
        <v>1000</v>
      </c>
      <c r="K2" s="3" t="str">
        <f>IF(ISBLANK(I2),"Fashion",I2)</f>
        <v>Electronics</v>
      </c>
      <c r="L2" s="11" t="str">
        <f>E2&amp;" "&amp;F2</f>
        <v>Laptop Dell</v>
      </c>
    </row>
    <row r="3" spans="1:22" ht="15.75" customHeight="1" x14ac:dyDescent="0.3">
      <c r="A3" s="26">
        <f t="shared" ref="A3:A32" si="0">DATE(2026,MONTH(DATEVALUE(C3&amp;" 1")),B3)</f>
        <v>46068</v>
      </c>
      <c r="B3" s="15">
        <v>15</v>
      </c>
      <c r="C3" s="4" t="s">
        <v>91</v>
      </c>
      <c r="D3" s="4" t="s">
        <v>90</v>
      </c>
      <c r="E3" s="4" t="s">
        <v>7</v>
      </c>
      <c r="F3" s="4" t="s">
        <v>8</v>
      </c>
      <c r="G3" s="12">
        <v>80</v>
      </c>
      <c r="H3" s="15">
        <v>15</v>
      </c>
      <c r="I3" s="18" t="s">
        <v>9</v>
      </c>
      <c r="J3" s="8">
        <f>IF(ISBLANK(G3),ROUND(AVERAGE($G$2:$G$35),0),G3)</f>
        <v>80</v>
      </c>
      <c r="K3" s="4" t="str">
        <f>IF(ISBLANK(I3),"Fashion",I3)</f>
        <v>Fashion</v>
      </c>
      <c r="L3" s="12" t="str">
        <f t="shared" ref="L3:L7" si="1">E3&amp;" "&amp;F3</f>
        <v>Sneakers Nike</v>
      </c>
      <c r="M3" s="1"/>
      <c r="N3" s="1"/>
      <c r="O3" s="38" t="s">
        <v>62</v>
      </c>
      <c r="P3" s="39" t="s">
        <v>63</v>
      </c>
      <c r="Q3" s="1"/>
      <c r="R3" s="1"/>
      <c r="S3" s="1"/>
      <c r="T3" s="1"/>
      <c r="U3" s="1"/>
      <c r="V3" s="1"/>
    </row>
    <row r="4" spans="1:22" ht="15.75" customHeight="1" x14ac:dyDescent="0.25">
      <c r="A4" s="25">
        <f t="shared" si="0"/>
        <v>46084</v>
      </c>
      <c r="B4" s="31">
        <v>3</v>
      </c>
      <c r="C4" s="3" t="s">
        <v>92</v>
      </c>
      <c r="D4" s="3" t="s">
        <v>90</v>
      </c>
      <c r="E4" s="3" t="s">
        <v>10</v>
      </c>
      <c r="F4" s="3" t="s">
        <v>11</v>
      </c>
      <c r="G4" s="11">
        <v>130</v>
      </c>
      <c r="H4" s="31">
        <v>40</v>
      </c>
      <c r="I4" s="3" t="s">
        <v>12</v>
      </c>
      <c r="J4" s="7">
        <f>IF(ISBLANK(G4),ROUND(AVERAGE($G$2:$G$35),0),G4)</f>
        <v>130</v>
      </c>
      <c r="K4" s="3" t="str">
        <f>IF(ISBLANK(I4),"Fashion",I4)</f>
        <v>Kitchen</v>
      </c>
      <c r="L4" s="11" t="str">
        <f t="shared" si="1"/>
        <v>Coffee Maker Keurig</v>
      </c>
      <c r="M4" s="1"/>
      <c r="N4" s="1"/>
      <c r="O4" s="40"/>
      <c r="P4" s="41" t="s">
        <v>67</v>
      </c>
      <c r="Q4" s="1"/>
      <c r="R4" s="1"/>
      <c r="S4" s="1"/>
      <c r="T4" s="1"/>
      <c r="U4" s="1"/>
      <c r="V4" s="1"/>
    </row>
    <row r="5" spans="1:22" ht="15.75" customHeight="1" x14ac:dyDescent="0.3">
      <c r="A5" s="26">
        <f t="shared" si="0"/>
        <v>46123</v>
      </c>
      <c r="B5" s="15">
        <v>11</v>
      </c>
      <c r="C5" s="4" t="s">
        <v>93</v>
      </c>
      <c r="D5" s="4" t="s">
        <v>90</v>
      </c>
      <c r="E5" s="4" t="s">
        <v>48</v>
      </c>
      <c r="F5" s="4" t="s">
        <v>13</v>
      </c>
      <c r="G5" s="12">
        <v>900</v>
      </c>
      <c r="H5" s="15">
        <v>25</v>
      </c>
      <c r="I5" s="4" t="s">
        <v>6</v>
      </c>
      <c r="J5" s="8">
        <f>IF(ISBLANK(G5),ROUND(AVERAGE($G$2:$G$35),0),G5)</f>
        <v>900</v>
      </c>
      <c r="K5" s="4" t="str">
        <f>IF(ISBLANK(I5),"Fashion",I5)</f>
        <v>Electronics</v>
      </c>
      <c r="L5" s="12" t="str">
        <f t="shared" si="1"/>
        <v>Smartphone Samsung</v>
      </c>
      <c r="M5" s="1"/>
      <c r="N5" s="1"/>
      <c r="O5" s="40"/>
      <c r="P5" s="42" t="s">
        <v>136</v>
      </c>
      <c r="Q5" s="1"/>
      <c r="R5" s="1"/>
      <c r="S5" s="1"/>
      <c r="T5" s="1"/>
      <c r="U5" s="1"/>
      <c r="V5" s="1"/>
    </row>
    <row r="6" spans="1:22" ht="15.75" customHeight="1" x14ac:dyDescent="0.25">
      <c r="A6" s="25">
        <f t="shared" si="0"/>
        <v>46164</v>
      </c>
      <c r="B6" s="31">
        <v>22</v>
      </c>
      <c r="C6" s="3" t="s">
        <v>94</v>
      </c>
      <c r="D6" s="3" t="s">
        <v>90</v>
      </c>
      <c r="E6" s="3" t="s">
        <v>14</v>
      </c>
      <c r="F6" s="3" t="s">
        <v>15</v>
      </c>
      <c r="G6" s="11">
        <v>70</v>
      </c>
      <c r="H6" s="31">
        <v>20</v>
      </c>
      <c r="I6" s="3"/>
      <c r="J6" s="7">
        <f>IF(ISBLANK(G6),ROUND(AVERAGE($G$2:$G$35),0),G6)</f>
        <v>70</v>
      </c>
      <c r="K6" s="3" t="str">
        <f>IF(ISBLANK(I6),"Fashion",I6)</f>
        <v>Fashion</v>
      </c>
      <c r="L6" s="11" t="str">
        <f t="shared" si="1"/>
        <v>Backpack North Face</v>
      </c>
    </row>
    <row r="7" spans="1:22" ht="15.75" customHeight="1" x14ac:dyDescent="0.3">
      <c r="A7" s="26">
        <f t="shared" si="0"/>
        <v>46180</v>
      </c>
      <c r="B7" s="15">
        <v>7</v>
      </c>
      <c r="C7" s="4" t="s">
        <v>95</v>
      </c>
      <c r="D7" s="4" t="s">
        <v>96</v>
      </c>
      <c r="E7" s="4" t="s">
        <v>16</v>
      </c>
      <c r="F7" s="4" t="s">
        <v>17</v>
      </c>
      <c r="G7" s="14"/>
      <c r="H7" s="15">
        <v>45</v>
      </c>
      <c r="I7" s="4" t="s">
        <v>6</v>
      </c>
      <c r="J7" s="35">
        <f>IF(ISBLANK(G7),ROUND(AVERAGE($G$2:$G$35),0),G7)</f>
        <v>298</v>
      </c>
      <c r="K7" s="18" t="str">
        <f>IF(ISBLANK(I7),"Fashion",I7)</f>
        <v>Electronics</v>
      </c>
      <c r="L7" s="14" t="str">
        <f t="shared" si="1"/>
        <v>Headphones Sony</v>
      </c>
      <c r="N7" s="29"/>
      <c r="O7" s="43" t="s">
        <v>65</v>
      </c>
      <c r="P7" s="44" t="s">
        <v>66</v>
      </c>
    </row>
    <row r="8" spans="1:22" ht="15.75" customHeight="1" x14ac:dyDescent="0.25">
      <c r="A8" s="25">
        <f t="shared" si="0"/>
        <v>46222</v>
      </c>
      <c r="B8" s="31">
        <v>19</v>
      </c>
      <c r="C8" s="3" t="s">
        <v>97</v>
      </c>
      <c r="D8" s="3" t="s">
        <v>96</v>
      </c>
      <c r="E8" s="3" t="s">
        <v>18</v>
      </c>
      <c r="F8" s="3" t="s">
        <v>19</v>
      </c>
      <c r="G8" s="11">
        <v>30</v>
      </c>
      <c r="H8" s="31">
        <v>5</v>
      </c>
      <c r="I8" s="3" t="s">
        <v>9</v>
      </c>
      <c r="J8" s="7">
        <f>IF(ISBLANK(G8),ROUND(AVERAGE($G$2:$G$35),0),G8)</f>
        <v>30</v>
      </c>
      <c r="K8" s="3" t="str">
        <f>IF(ISBLANK(I8),"Fashion",I8)</f>
        <v>Fashion</v>
      </c>
      <c r="L8" s="11" t="str">
        <f>E8&amp;" "&amp;F8</f>
        <v>T-shirt Adidas</v>
      </c>
      <c r="O8" s="45"/>
      <c r="P8" s="41" t="s">
        <v>69</v>
      </c>
    </row>
    <row r="9" spans="1:22" ht="15.75" customHeight="1" x14ac:dyDescent="0.3">
      <c r="A9" s="26">
        <f t="shared" si="0"/>
        <v>46257</v>
      </c>
      <c r="B9" s="15">
        <v>23</v>
      </c>
      <c r="C9" s="4" t="s">
        <v>98</v>
      </c>
      <c r="D9" s="4" t="s">
        <v>96</v>
      </c>
      <c r="E9" s="4" t="s">
        <v>20</v>
      </c>
      <c r="F9" s="4" t="s">
        <v>21</v>
      </c>
      <c r="G9" s="12">
        <v>90</v>
      </c>
      <c r="H9" s="15">
        <v>35</v>
      </c>
      <c r="I9" s="4" t="s">
        <v>12</v>
      </c>
      <c r="J9" s="8">
        <f>IF(ISBLANK(G9),ROUND(AVERAGE($G$2:$G$35),0),G9)</f>
        <v>90</v>
      </c>
      <c r="K9" s="4" t="str">
        <f>IF(ISBLANK(I9),"Fashion",I9)</f>
        <v>Kitchen</v>
      </c>
      <c r="L9" s="12" t="str">
        <f t="shared" ref="L9:L33" si="2">E9&amp;" "&amp;F9</f>
        <v>Blender Ninja</v>
      </c>
      <c r="O9" s="45"/>
      <c r="P9" s="46" t="s">
        <v>135</v>
      </c>
    </row>
    <row r="10" spans="1:22" ht="15.75" customHeight="1" x14ac:dyDescent="0.25">
      <c r="A10" s="25">
        <f t="shared" si="0"/>
        <v>46270</v>
      </c>
      <c r="B10" s="31">
        <v>5</v>
      </c>
      <c r="C10" s="3" t="s">
        <v>99</v>
      </c>
      <c r="D10" s="3" t="s">
        <v>96</v>
      </c>
      <c r="E10" s="3" t="s">
        <v>22</v>
      </c>
      <c r="F10" s="3" t="s">
        <v>23</v>
      </c>
      <c r="G10" s="11">
        <v>500</v>
      </c>
      <c r="H10" s="31">
        <v>50</v>
      </c>
      <c r="I10" s="3" t="s">
        <v>6</v>
      </c>
      <c r="J10" s="7">
        <f>IF(ISBLANK(G10),ROUND(AVERAGE($G$2:$G$35),0),G10)</f>
        <v>500</v>
      </c>
      <c r="K10" s="3" t="str">
        <f>IF(ISBLANK(I10),"Fashion",I10)</f>
        <v>Electronics</v>
      </c>
      <c r="L10" s="11" t="str">
        <f t="shared" si="2"/>
        <v>Tablet Apple</v>
      </c>
    </row>
    <row r="11" spans="1:22" ht="15.75" customHeight="1" x14ac:dyDescent="0.3">
      <c r="A11" s="26">
        <f t="shared" si="0"/>
        <v>46309</v>
      </c>
      <c r="B11" s="15">
        <v>14</v>
      </c>
      <c r="C11" s="4" t="s">
        <v>100</v>
      </c>
      <c r="D11" s="4" t="s">
        <v>96</v>
      </c>
      <c r="E11" s="4" t="s">
        <v>24</v>
      </c>
      <c r="F11" s="4" t="s">
        <v>25</v>
      </c>
      <c r="G11" s="12">
        <v>130</v>
      </c>
      <c r="H11" s="15">
        <v>10</v>
      </c>
      <c r="I11" s="4" t="s">
        <v>26</v>
      </c>
      <c r="J11" s="8">
        <f>IF(ISBLANK(G11),ROUND(AVERAGE($G$2:$G$35),0),G11)</f>
        <v>130</v>
      </c>
      <c r="K11" s="4" t="str">
        <f>IF(ISBLANK(I11),"Fashion",I11)</f>
        <v>Outdoor</v>
      </c>
      <c r="L11" s="12" t="str">
        <f t="shared" si="2"/>
        <v>Hiking Boots Timberland</v>
      </c>
      <c r="O11" s="22" t="s">
        <v>70</v>
      </c>
      <c r="P11" s="21" t="str">
        <f>UPPER("Correcting Inconsistent Data")</f>
        <v>CORRECTING INCONSISTENT DATA</v>
      </c>
    </row>
    <row r="12" spans="1:22" ht="15.75" customHeight="1" x14ac:dyDescent="0.25">
      <c r="A12" s="25">
        <f t="shared" si="0"/>
        <v>46190</v>
      </c>
      <c r="B12" s="31">
        <v>17</v>
      </c>
      <c r="C12" s="3" t="s">
        <v>95</v>
      </c>
      <c r="D12" s="3" t="s">
        <v>101</v>
      </c>
      <c r="E12" s="3" t="s">
        <v>27</v>
      </c>
      <c r="F12" s="3" t="s">
        <v>28</v>
      </c>
      <c r="G12" s="11">
        <v>950</v>
      </c>
      <c r="H12" s="31">
        <v>25</v>
      </c>
      <c r="I12" s="3" t="s">
        <v>6</v>
      </c>
      <c r="J12" s="7">
        <f>IF(ISBLANK(G12),ROUND(AVERAGE($G$2:$G$35),0),G12)</f>
        <v>950</v>
      </c>
      <c r="K12" s="3" t="str">
        <f>IF(ISBLANK(I12),"Fashion",I12)</f>
        <v>Electronics</v>
      </c>
      <c r="L12" s="11" t="str">
        <f t="shared" si="2"/>
        <v>Laptop HP</v>
      </c>
    </row>
    <row r="13" spans="1:22" ht="15.75" customHeight="1" x14ac:dyDescent="0.25">
      <c r="A13" s="26">
        <f t="shared" si="0"/>
        <v>46351</v>
      </c>
      <c r="B13" s="15">
        <v>25</v>
      </c>
      <c r="C13" s="4" t="s">
        <v>102</v>
      </c>
      <c r="D13" s="4" t="s">
        <v>103</v>
      </c>
      <c r="E13" s="4" t="s">
        <v>7</v>
      </c>
      <c r="F13" s="4" t="s">
        <v>19</v>
      </c>
      <c r="G13" s="12">
        <v>90</v>
      </c>
      <c r="H13" s="15">
        <v>40</v>
      </c>
      <c r="I13" s="4"/>
      <c r="J13" s="8">
        <f>IF(ISBLANK(G13),ROUND(AVERAGE($G$2:$G$35),0),G13)</f>
        <v>90</v>
      </c>
      <c r="K13" s="4" t="str">
        <f>IF(ISBLANK(I13),"Fashion",I13)</f>
        <v>Fashion</v>
      </c>
      <c r="L13" s="12" t="str">
        <f t="shared" si="2"/>
        <v>Sneakers Adidas</v>
      </c>
      <c r="O13" s="47" t="s">
        <v>71</v>
      </c>
      <c r="P13" s="44" t="str">
        <f>UPPER("IDENTIFIED inconsistent text formats in PRODUCT NAME")</f>
        <v>IDENTIFIED INCONSISTENT TEXT FORMATS IN PRODUCT NAME</v>
      </c>
    </row>
    <row r="14" spans="1:22" ht="15.75" customHeight="1" x14ac:dyDescent="0.25">
      <c r="A14" s="25">
        <f t="shared" si="0"/>
        <v>46364</v>
      </c>
      <c r="B14" s="31">
        <v>8</v>
      </c>
      <c r="C14" s="3" t="s">
        <v>104</v>
      </c>
      <c r="D14" s="3" t="s">
        <v>105</v>
      </c>
      <c r="E14" s="3" t="s">
        <v>10</v>
      </c>
      <c r="F14" s="3" t="s">
        <v>29</v>
      </c>
      <c r="G14" s="11">
        <v>120</v>
      </c>
      <c r="H14" s="31">
        <v>35</v>
      </c>
      <c r="I14" s="3"/>
      <c r="J14" s="7">
        <f>IF(ISBLANK(G14),ROUND(AVERAGE($G$2:$G$35),0),G14)</f>
        <v>120</v>
      </c>
      <c r="K14" s="3" t="str">
        <f>IF(ISBLANK(I14),"Fashion",I14)</f>
        <v>Fashion</v>
      </c>
      <c r="L14" s="11" t="str">
        <f t="shared" si="2"/>
        <v>Coffee Maker Nespresso</v>
      </c>
      <c r="O14" s="45"/>
      <c r="P14" s="48" t="s">
        <v>75</v>
      </c>
    </row>
    <row r="15" spans="1:22" ht="15.75" customHeight="1" x14ac:dyDescent="0.3">
      <c r="A15" s="26">
        <f t="shared" si="0"/>
        <v>46071</v>
      </c>
      <c r="B15" s="15">
        <v>18</v>
      </c>
      <c r="C15" s="4" t="s">
        <v>91</v>
      </c>
      <c r="D15" s="4" t="s">
        <v>106</v>
      </c>
      <c r="E15" s="4" t="s">
        <v>30</v>
      </c>
      <c r="F15" s="4" t="s">
        <v>31</v>
      </c>
      <c r="G15" s="12">
        <v>150</v>
      </c>
      <c r="H15" s="15">
        <v>15</v>
      </c>
      <c r="I15" s="4" t="s">
        <v>6</v>
      </c>
      <c r="J15" s="8">
        <f>IF(ISBLANK(G15),ROUND(AVERAGE($G$2:$G$35),0),G15)</f>
        <v>150</v>
      </c>
      <c r="K15" s="4" t="str">
        <f>IF(ISBLANK(I15),"Fashion",I15)</f>
        <v>Electronics</v>
      </c>
      <c r="L15" s="12" t="str">
        <f t="shared" si="2"/>
        <v>Smartwatch Fitbit</v>
      </c>
      <c r="O15" s="45"/>
      <c r="P15" s="49" t="s">
        <v>76</v>
      </c>
    </row>
    <row r="16" spans="1:22" ht="15.75" customHeight="1" x14ac:dyDescent="0.25">
      <c r="A16" s="25">
        <f t="shared" si="0"/>
        <v>46128</v>
      </c>
      <c r="B16" s="31">
        <v>16</v>
      </c>
      <c r="C16" s="3" t="s">
        <v>93</v>
      </c>
      <c r="D16" s="3" t="s">
        <v>107</v>
      </c>
      <c r="E16" s="3" t="s">
        <v>16</v>
      </c>
      <c r="F16" s="3" t="s">
        <v>32</v>
      </c>
      <c r="G16" s="11">
        <v>250</v>
      </c>
      <c r="H16" s="31">
        <v>20</v>
      </c>
      <c r="I16" s="3" t="s">
        <v>6</v>
      </c>
      <c r="J16" s="7">
        <f>IF(ISBLANK(G16),ROUND(AVERAGE($G$2:$G$35),0),G16)</f>
        <v>250</v>
      </c>
      <c r="K16" s="3" t="str">
        <f>IF(ISBLANK(I16),"Fashion",I16)</f>
        <v>Electronics</v>
      </c>
      <c r="L16" s="11" t="str">
        <f t="shared" si="2"/>
        <v>Headphones Bose</v>
      </c>
      <c r="P16" s="19"/>
    </row>
    <row r="17" spans="1:16" ht="15.75" customHeight="1" x14ac:dyDescent="0.25">
      <c r="A17" s="26">
        <f t="shared" si="0"/>
        <v>46255</v>
      </c>
      <c r="B17" s="15">
        <v>21</v>
      </c>
      <c r="C17" s="4" t="s">
        <v>98</v>
      </c>
      <c r="D17" s="4" t="s">
        <v>106</v>
      </c>
      <c r="E17" s="4" t="s">
        <v>33</v>
      </c>
      <c r="F17" s="4" t="s">
        <v>34</v>
      </c>
      <c r="G17" s="12">
        <v>50</v>
      </c>
      <c r="H17" s="15">
        <v>35</v>
      </c>
      <c r="I17" s="4" t="s">
        <v>35</v>
      </c>
      <c r="J17" s="8">
        <f>IF(ISBLANK(G17),ROUND(AVERAGE($G$2:$G$35),0),G17)</f>
        <v>50</v>
      </c>
      <c r="K17" s="4" t="str">
        <f>IF(ISBLANK(I17),"Fashion",I17)</f>
        <v>Accessories</v>
      </c>
      <c r="L17" s="12" t="str">
        <f t="shared" si="2"/>
        <v>Laptop Bag Samsonite</v>
      </c>
      <c r="O17" s="47" t="s">
        <v>73</v>
      </c>
      <c r="P17" s="44" t="str">
        <f>UPPER("Identify any typos present in the (Category) ")</f>
        <v xml:space="preserve">IDENTIFY ANY TYPOS PRESENT IN THE (CATEGORY) </v>
      </c>
    </row>
    <row r="18" spans="1:16" ht="15.75" customHeight="1" x14ac:dyDescent="0.25">
      <c r="A18" s="25">
        <f t="shared" si="0"/>
        <v>46254</v>
      </c>
      <c r="B18" s="31">
        <v>20</v>
      </c>
      <c r="C18" s="3" t="s">
        <v>98</v>
      </c>
      <c r="D18" s="3" t="s">
        <v>108</v>
      </c>
      <c r="E18" s="3" t="s">
        <v>30</v>
      </c>
      <c r="F18" s="3" t="s">
        <v>36</v>
      </c>
      <c r="G18" s="11">
        <v>160</v>
      </c>
      <c r="H18" s="31">
        <v>15</v>
      </c>
      <c r="I18" s="3" t="s">
        <v>6</v>
      </c>
      <c r="J18" s="7">
        <f>IF(ISBLANK(G18),ROUND(AVERAGE($G$2:$G$35),0),G18)</f>
        <v>160</v>
      </c>
      <c r="K18" s="3" t="str">
        <f>IF(ISBLANK(I18),"Fashion",I18)</f>
        <v>Electronics</v>
      </c>
      <c r="L18" s="11" t="str">
        <f t="shared" si="2"/>
        <v>Smartwatch Huawei</v>
      </c>
      <c r="O18" s="45"/>
      <c r="P18" s="48" t="s">
        <v>72</v>
      </c>
    </row>
    <row r="19" spans="1:16" ht="15.75" customHeight="1" x14ac:dyDescent="0.25">
      <c r="A19" s="26">
        <f t="shared" si="0"/>
        <v>46049</v>
      </c>
      <c r="B19" s="15">
        <v>27</v>
      </c>
      <c r="C19" s="4" t="s">
        <v>89</v>
      </c>
      <c r="D19" s="4" t="s">
        <v>109</v>
      </c>
      <c r="E19" s="4" t="s">
        <v>27</v>
      </c>
      <c r="F19" s="4" t="s">
        <v>37</v>
      </c>
      <c r="G19" s="12">
        <v>980</v>
      </c>
      <c r="H19" s="15">
        <v>10</v>
      </c>
      <c r="I19" s="4" t="s">
        <v>6</v>
      </c>
      <c r="J19" s="8">
        <f>IF(ISBLANK(G19),ROUND(AVERAGE($G$2:$G$35),0),G19)</f>
        <v>980</v>
      </c>
      <c r="K19" s="4" t="str">
        <f>IF(ISBLANK(I19),"Fashion",I19)</f>
        <v>Electronics</v>
      </c>
      <c r="L19" s="12" t="str">
        <f t="shared" si="2"/>
        <v>Laptop Asus</v>
      </c>
    </row>
    <row r="20" spans="1:16" ht="15.75" customHeight="1" x14ac:dyDescent="0.25">
      <c r="A20" s="25">
        <f t="shared" si="0"/>
        <v>46082</v>
      </c>
      <c r="B20" s="31">
        <v>1</v>
      </c>
      <c r="C20" s="3" t="s">
        <v>92</v>
      </c>
      <c r="D20" s="3" t="s">
        <v>96</v>
      </c>
      <c r="E20" s="3" t="s">
        <v>38</v>
      </c>
      <c r="F20" s="3" t="s">
        <v>39</v>
      </c>
      <c r="G20" s="11">
        <v>150</v>
      </c>
      <c r="H20" s="31">
        <v>15</v>
      </c>
      <c r="I20" s="3" t="s">
        <v>9</v>
      </c>
      <c r="J20" s="7">
        <f>IF(ISBLANK(G20),ROUND(AVERAGE($G$2:$G$35),0),G20)</f>
        <v>150</v>
      </c>
      <c r="K20" s="3" t="str">
        <f>IF(ISBLANK(I20),"Fashion",I20)</f>
        <v>Fashion</v>
      </c>
      <c r="L20" s="11" t="str">
        <f t="shared" si="2"/>
        <v>Sunglasses Oakley</v>
      </c>
      <c r="O20" s="47" t="s">
        <v>74</v>
      </c>
      <c r="P20" s="44" t="str">
        <f>UPPER("find and replace function using in (product name) and (category) columns")</f>
        <v>FIND AND REPLACE FUNCTION USING IN (PRODUCT NAME) AND (CATEGORY) COLUMNS</v>
      </c>
    </row>
    <row r="21" spans="1:16" ht="15.75" customHeight="1" x14ac:dyDescent="0.25">
      <c r="A21" s="26">
        <f t="shared" si="0"/>
        <v>46248</v>
      </c>
      <c r="B21" s="15">
        <v>14</v>
      </c>
      <c r="C21" s="4" t="s">
        <v>98</v>
      </c>
      <c r="D21" s="4" t="s">
        <v>90</v>
      </c>
      <c r="E21" s="4" t="s">
        <v>40</v>
      </c>
      <c r="F21" s="4" t="s">
        <v>41</v>
      </c>
      <c r="G21" s="12"/>
      <c r="H21" s="15">
        <v>10</v>
      </c>
      <c r="I21" s="4" t="s">
        <v>26</v>
      </c>
      <c r="J21" s="8">
        <f>IF(ISBLANK(G21),ROUND(AVERAGE($G$2:$G$35),0),G21)</f>
        <v>298</v>
      </c>
      <c r="K21" s="4" t="str">
        <f>IF(ISBLANK(I21),"Fashion",I21)</f>
        <v>Outdoor</v>
      </c>
      <c r="L21" s="12" t="str">
        <f t="shared" si="2"/>
        <v>Camping Tent Coleman</v>
      </c>
      <c r="O21" s="45"/>
      <c r="P21" s="50" t="s">
        <v>78</v>
      </c>
    </row>
    <row r="22" spans="1:16" ht="15.75" customHeight="1" x14ac:dyDescent="0.3">
      <c r="A22" s="25">
        <f t="shared" si="0"/>
        <v>46156</v>
      </c>
      <c r="B22" s="31">
        <v>14</v>
      </c>
      <c r="C22" s="3" t="s">
        <v>94</v>
      </c>
      <c r="D22" s="3" t="s">
        <v>110</v>
      </c>
      <c r="E22" s="3" t="s">
        <v>42</v>
      </c>
      <c r="F22" s="3" t="s">
        <v>43</v>
      </c>
      <c r="G22" s="11">
        <v>700</v>
      </c>
      <c r="H22" s="31">
        <v>50</v>
      </c>
      <c r="I22" s="3" t="s">
        <v>6</v>
      </c>
      <c r="J22" s="7">
        <f>IF(ISBLANK(G22),ROUND(AVERAGE($G$2:$G$35),0),G22)</f>
        <v>700</v>
      </c>
      <c r="K22" s="3" t="str">
        <f>IF(ISBLANK(I22),"Fashion",I22)</f>
        <v>Electronics</v>
      </c>
      <c r="L22" s="11" t="str">
        <f t="shared" si="2"/>
        <v>Camera Nikon</v>
      </c>
      <c r="O22" s="45"/>
      <c r="P22" s="49" t="s">
        <v>77</v>
      </c>
    </row>
    <row r="23" spans="1:16" ht="15.75" customHeight="1" x14ac:dyDescent="0.3">
      <c r="A23" s="26">
        <f t="shared" si="0"/>
        <v>46031</v>
      </c>
      <c r="B23" s="15">
        <v>9</v>
      </c>
      <c r="C23" s="4" t="s">
        <v>89</v>
      </c>
      <c r="D23" s="4" t="s">
        <v>106</v>
      </c>
      <c r="E23" s="4" t="s">
        <v>44</v>
      </c>
      <c r="F23" s="4" t="s">
        <v>45</v>
      </c>
      <c r="G23" s="12">
        <v>80</v>
      </c>
      <c r="H23" s="15">
        <v>20</v>
      </c>
      <c r="I23" s="4" t="s">
        <v>12</v>
      </c>
      <c r="J23" s="8">
        <f>IF(ISBLANK(G23),ROUND(AVERAGE($G$2:$G$35),0),G23)</f>
        <v>80</v>
      </c>
      <c r="K23" s="4" t="str">
        <f>IF(ISBLANK(I23),"Fashion",I23)</f>
        <v>Kitchen</v>
      </c>
      <c r="L23" s="12" t="str">
        <f t="shared" si="2"/>
        <v>Microwave Panasonic</v>
      </c>
      <c r="O23" s="45"/>
      <c r="P23" s="49" t="s">
        <v>79</v>
      </c>
    </row>
    <row r="24" spans="1:16" ht="15.75" customHeight="1" x14ac:dyDescent="0.25">
      <c r="A24" s="25">
        <f t="shared" si="0"/>
        <v>46222</v>
      </c>
      <c r="B24" s="31">
        <v>19</v>
      </c>
      <c r="C24" s="3" t="s">
        <v>97</v>
      </c>
      <c r="D24" s="3" t="s">
        <v>111</v>
      </c>
      <c r="E24" s="3" t="s">
        <v>46</v>
      </c>
      <c r="F24" s="3" t="s">
        <v>47</v>
      </c>
      <c r="G24" s="11">
        <v>150</v>
      </c>
      <c r="H24" s="31">
        <v>30</v>
      </c>
      <c r="I24" s="3"/>
      <c r="J24" s="7">
        <f>IF(ISBLANK(G24),ROUND(AVERAGE($G$2:$G$35),0),G24)</f>
        <v>150</v>
      </c>
      <c r="K24" s="3" t="str">
        <f>IF(ISBLANK(I24),"Fashion",I24)</f>
        <v>Fashion</v>
      </c>
      <c r="L24" s="11" t="str">
        <f t="shared" si="2"/>
        <v>Fitness Tracker Xiaomi</v>
      </c>
    </row>
    <row r="25" spans="1:16" ht="15.75" customHeight="1" x14ac:dyDescent="0.3">
      <c r="A25" s="25">
        <f t="shared" si="0"/>
        <v>46294</v>
      </c>
      <c r="B25" s="31">
        <v>29</v>
      </c>
      <c r="C25" s="3" t="s">
        <v>99</v>
      </c>
      <c r="D25" s="3" t="s">
        <v>106</v>
      </c>
      <c r="E25" s="3" t="s">
        <v>48</v>
      </c>
      <c r="F25" s="3" t="s">
        <v>49</v>
      </c>
      <c r="G25" s="11">
        <v>800</v>
      </c>
      <c r="H25" s="31">
        <v>45</v>
      </c>
      <c r="I25" s="3" t="s">
        <v>6</v>
      </c>
      <c r="J25" s="7">
        <f>IF(ISBLANK(G25),ROUND(AVERAGE($G$2:$G$35),0),G25)</f>
        <v>800</v>
      </c>
      <c r="K25" s="3" t="str">
        <f>IF(ISBLANK(I25),"Fashion",I25)</f>
        <v>Electronics</v>
      </c>
      <c r="L25" s="11" t="str">
        <f t="shared" si="2"/>
        <v>Smartphone Google</v>
      </c>
      <c r="O25" s="23" t="s">
        <v>80</v>
      </c>
      <c r="P25" s="24" t="s">
        <v>81</v>
      </c>
    </row>
    <row r="26" spans="1:16" ht="15.75" customHeight="1" x14ac:dyDescent="0.25">
      <c r="A26" s="26">
        <f t="shared" si="0"/>
        <v>46176</v>
      </c>
      <c r="B26" s="15">
        <v>3</v>
      </c>
      <c r="C26" s="4" t="s">
        <v>95</v>
      </c>
      <c r="D26" s="4" t="s">
        <v>106</v>
      </c>
      <c r="E26" s="4" t="s">
        <v>38</v>
      </c>
      <c r="F26" s="4" t="s">
        <v>50</v>
      </c>
      <c r="G26" s="12"/>
      <c r="H26" s="15">
        <v>25</v>
      </c>
      <c r="I26" s="4" t="s">
        <v>9</v>
      </c>
      <c r="J26" s="8">
        <f>IF(ISBLANK(G26),ROUND(AVERAGE($G$2:$G$35),0),G26)</f>
        <v>298</v>
      </c>
      <c r="K26" s="4" t="str">
        <f>IF(ISBLANK(I26),"Fashion",I26)</f>
        <v>Fashion</v>
      </c>
      <c r="L26" s="12" t="str">
        <f t="shared" si="2"/>
        <v>Sunglasses Ray-Ban</v>
      </c>
    </row>
    <row r="27" spans="1:16" ht="15.75" customHeight="1" x14ac:dyDescent="0.25">
      <c r="A27" s="25">
        <f t="shared" si="0"/>
        <v>46214</v>
      </c>
      <c r="B27" s="31">
        <v>11</v>
      </c>
      <c r="C27" s="3" t="s">
        <v>97</v>
      </c>
      <c r="D27" s="3" t="s">
        <v>106</v>
      </c>
      <c r="E27" s="3" t="s">
        <v>20</v>
      </c>
      <c r="F27" s="3" t="s">
        <v>51</v>
      </c>
      <c r="G27" s="11">
        <v>400</v>
      </c>
      <c r="H27" s="31">
        <v>40</v>
      </c>
      <c r="I27" s="3" t="s">
        <v>12</v>
      </c>
      <c r="J27" s="7">
        <f>IF(ISBLANK(G27),ROUND(AVERAGE($G$2:$G$35),0),G27)</f>
        <v>400</v>
      </c>
      <c r="K27" s="3" t="str">
        <f>IF(ISBLANK(I27),"Fashion",I27)</f>
        <v>Kitchen</v>
      </c>
      <c r="L27" s="11" t="str">
        <f t="shared" si="2"/>
        <v>Blender Vitamix</v>
      </c>
      <c r="O27" s="47" t="s">
        <v>82</v>
      </c>
      <c r="P27" s="44" t="s">
        <v>83</v>
      </c>
    </row>
    <row r="28" spans="1:16" ht="15.75" customHeight="1" x14ac:dyDescent="0.25">
      <c r="A28" s="25">
        <f t="shared" si="0"/>
        <v>46088</v>
      </c>
      <c r="B28" s="31">
        <v>7</v>
      </c>
      <c r="C28" s="3" t="s">
        <v>92</v>
      </c>
      <c r="D28" s="3" t="s">
        <v>106</v>
      </c>
      <c r="E28" s="3" t="s">
        <v>52</v>
      </c>
      <c r="F28" s="3" t="s">
        <v>53</v>
      </c>
      <c r="G28" s="11">
        <v>60</v>
      </c>
      <c r="H28" s="31">
        <v>30</v>
      </c>
      <c r="I28" s="3" t="s">
        <v>9</v>
      </c>
      <c r="J28" s="7">
        <f>IF(ISBLANK(G28),ROUND(AVERAGE($G$2:$G$35),0),G28)</f>
        <v>60</v>
      </c>
      <c r="K28" s="3" t="str">
        <f>IF(ISBLANK(I28),"Fashion",I28)</f>
        <v>Fashion</v>
      </c>
      <c r="L28" s="11" t="str">
        <f t="shared" si="2"/>
        <v>Dress Zara</v>
      </c>
      <c r="O28" s="45"/>
      <c r="P28" s="48" t="s">
        <v>137</v>
      </c>
    </row>
    <row r="29" spans="1:16" ht="15.75" customHeight="1" x14ac:dyDescent="0.25">
      <c r="A29" s="26">
        <f t="shared" si="0"/>
        <v>46125</v>
      </c>
      <c r="B29" s="15">
        <v>13</v>
      </c>
      <c r="C29" s="4" t="s">
        <v>93</v>
      </c>
      <c r="D29" s="4" t="s">
        <v>106</v>
      </c>
      <c r="E29" s="4" t="s">
        <v>54</v>
      </c>
      <c r="F29" s="4" t="s">
        <v>55</v>
      </c>
      <c r="G29" s="12">
        <v>40</v>
      </c>
      <c r="H29" s="15">
        <v>10</v>
      </c>
      <c r="I29" s="4" t="s">
        <v>12</v>
      </c>
      <c r="J29" s="8">
        <f>IF(ISBLANK(G29),ROUND(AVERAGE($G$2:$G$35),0),G29)</f>
        <v>40</v>
      </c>
      <c r="K29" s="4" t="str">
        <f>IF(ISBLANK(I29),"Fashion",I29)</f>
        <v>Kitchen</v>
      </c>
      <c r="L29" s="12" t="str">
        <f t="shared" si="2"/>
        <v>Toaster Hamilton</v>
      </c>
    </row>
    <row r="30" spans="1:16" ht="15.75" customHeight="1" x14ac:dyDescent="0.3">
      <c r="A30" s="25">
        <f t="shared" si="0"/>
        <v>46166</v>
      </c>
      <c r="B30" s="31">
        <v>24</v>
      </c>
      <c r="C30" s="3" t="s">
        <v>94</v>
      </c>
      <c r="D30" s="3" t="s">
        <v>106</v>
      </c>
      <c r="E30" s="3" t="s">
        <v>46</v>
      </c>
      <c r="F30" s="3" t="s">
        <v>56</v>
      </c>
      <c r="G30" s="11">
        <v>130</v>
      </c>
      <c r="H30" s="31">
        <v>5</v>
      </c>
      <c r="I30" s="3" t="s">
        <v>6</v>
      </c>
      <c r="J30" s="7">
        <f>IF(ISBLANK(G30),ROUND(AVERAGE($G$2:$G$35),0),G30)</f>
        <v>130</v>
      </c>
      <c r="K30" s="3" t="str">
        <f>IF(ISBLANK(I30),"Fashion",I30)</f>
        <v>Electronics</v>
      </c>
      <c r="L30" s="11" t="str">
        <f t="shared" si="2"/>
        <v>Fitness Tracker Garmin</v>
      </c>
      <c r="O30" s="23" t="s">
        <v>84</v>
      </c>
      <c r="P30" s="24" t="str">
        <f>UPPER("Splitting and Merging Data")</f>
        <v>SPLITTING AND MERGING DATA</v>
      </c>
    </row>
    <row r="31" spans="1:16" ht="15.75" customHeight="1" x14ac:dyDescent="0.25">
      <c r="A31" s="26">
        <f t="shared" si="0"/>
        <v>46358</v>
      </c>
      <c r="B31" s="15">
        <v>2</v>
      </c>
      <c r="C31" s="4" t="s">
        <v>104</v>
      </c>
      <c r="D31" s="4" t="s">
        <v>106</v>
      </c>
      <c r="E31" s="4" t="s">
        <v>57</v>
      </c>
      <c r="F31" s="4" t="s">
        <v>58</v>
      </c>
      <c r="G31" s="12">
        <v>50</v>
      </c>
      <c r="H31" s="15">
        <v>50</v>
      </c>
      <c r="I31" s="4" t="s">
        <v>9</v>
      </c>
      <c r="J31" s="8">
        <f>IF(ISBLANK(G31),ROUND(AVERAGE($G$2:$G$35),0),G31)</f>
        <v>50</v>
      </c>
      <c r="K31" s="4" t="str">
        <f>IF(ISBLANK(I31),"Fashion",I31)</f>
        <v>Fashion</v>
      </c>
      <c r="L31" s="12" t="str">
        <f t="shared" si="2"/>
        <v>Jeans Levi's</v>
      </c>
    </row>
    <row r="32" spans="1:16" ht="15.75" customHeight="1" x14ac:dyDescent="0.25">
      <c r="A32" s="26">
        <f t="shared" si="0"/>
        <v>46212</v>
      </c>
      <c r="B32" s="15">
        <v>9</v>
      </c>
      <c r="C32" s="4" t="s">
        <v>97</v>
      </c>
      <c r="D32" s="4" t="s">
        <v>112</v>
      </c>
      <c r="E32" s="4" t="s">
        <v>59</v>
      </c>
      <c r="F32" s="4" t="s">
        <v>60</v>
      </c>
      <c r="G32" s="12">
        <v>100</v>
      </c>
      <c r="H32" s="15">
        <v>20</v>
      </c>
      <c r="I32" s="4" t="s">
        <v>35</v>
      </c>
      <c r="J32" s="8">
        <f>IF(ISBLANK(G32),ROUND(AVERAGE($G$2:$G$35),0),G32)</f>
        <v>100</v>
      </c>
      <c r="K32" s="4" t="str">
        <f>IF(ISBLANK(I32),"Fashion",I32)</f>
        <v>Accessories</v>
      </c>
      <c r="L32" s="12" t="str">
        <f t="shared" si="2"/>
        <v>Watch Casio</v>
      </c>
      <c r="O32" s="47" t="s">
        <v>85</v>
      </c>
      <c r="P32" s="44" t="s">
        <v>115</v>
      </c>
    </row>
    <row r="33" spans="1:16" ht="15.75" customHeight="1" x14ac:dyDescent="0.3">
      <c r="A33" s="27"/>
      <c r="B33" s="17"/>
      <c r="C33" s="29"/>
      <c r="D33" s="29"/>
      <c r="E33"/>
      <c r="F33" s="29"/>
      <c r="G33"/>
      <c r="H33" s="17"/>
      <c r="I33"/>
      <c r="J33" s="36"/>
      <c r="K33" s="29"/>
      <c r="L33" t="str">
        <f t="shared" si="2"/>
        <v xml:space="preserve"> </v>
      </c>
      <c r="O33" s="45"/>
      <c r="P33" s="49" t="s">
        <v>130</v>
      </c>
    </row>
    <row r="34" spans="1:16" ht="15.75" customHeight="1" x14ac:dyDescent="0.3">
      <c r="A34" s="27"/>
      <c r="B34" s="17"/>
      <c r="C34" s="29"/>
      <c r="D34" s="29"/>
      <c r="E34"/>
      <c r="F34" s="29"/>
      <c r="G34"/>
      <c r="H34" s="17"/>
      <c r="I34"/>
      <c r="J34" s="36"/>
      <c r="K34" s="29"/>
      <c r="L34"/>
      <c r="O34" s="45"/>
      <c r="P34" s="49" t="s">
        <v>86</v>
      </c>
    </row>
    <row r="35" spans="1:16" ht="15.75" customHeight="1" x14ac:dyDescent="0.25">
      <c r="A35" s="27"/>
      <c r="B35" s="17"/>
      <c r="C35" s="29"/>
      <c r="D35" s="29"/>
      <c r="E35"/>
      <c r="F35" s="29"/>
      <c r="G35"/>
      <c r="H35" s="17"/>
      <c r="I35"/>
      <c r="J35" s="36"/>
      <c r="K35" s="29"/>
      <c r="L35"/>
    </row>
    <row r="36" spans="1:16" ht="15.75" customHeight="1" x14ac:dyDescent="0.25">
      <c r="O36" s="47" t="s">
        <v>114</v>
      </c>
      <c r="P36" s="44" t="s">
        <v>116</v>
      </c>
    </row>
    <row r="37" spans="1:16" ht="15.75" customHeight="1" x14ac:dyDescent="0.3">
      <c r="O37" s="45"/>
      <c r="P37" s="49" t="str">
        <f>PROPER("product name &amp; brand = product brand")</f>
        <v>Product Name &amp; Brand = Product Brand</v>
      </c>
    </row>
    <row r="38" spans="1:16" ht="15.75" customHeight="1" x14ac:dyDescent="0.25"/>
    <row r="39" spans="1:16" ht="15.75" customHeight="1" x14ac:dyDescent="0.3">
      <c r="O39" s="23" t="s">
        <v>119</v>
      </c>
      <c r="P39" s="24" t="str">
        <f>UPPER("Number Formatting")</f>
        <v>NUMBER FORMATTING</v>
      </c>
    </row>
    <row r="40" spans="1:16" ht="15.75" customHeight="1" x14ac:dyDescent="0.25"/>
    <row r="41" spans="1:16" ht="15.75" customHeight="1" x14ac:dyDescent="0.25">
      <c r="O41" s="47" t="s">
        <v>120</v>
      </c>
      <c r="P41" s="44" t="s">
        <v>121</v>
      </c>
    </row>
    <row r="42" spans="1:16" ht="15.75" customHeight="1" x14ac:dyDescent="0.25">
      <c r="O42" s="45"/>
      <c r="P42" s="48" t="s">
        <v>122</v>
      </c>
    </row>
    <row r="43" spans="1:16" ht="15.75" customHeight="1" x14ac:dyDescent="0.25"/>
    <row r="44" spans="1:16" ht="15.75" customHeight="1" x14ac:dyDescent="0.25">
      <c r="O44" s="47" t="s">
        <v>123</v>
      </c>
      <c r="P44" s="44" t="s">
        <v>124</v>
      </c>
    </row>
    <row r="45" spans="1:16" ht="15.75" customHeight="1" x14ac:dyDescent="0.25">
      <c r="O45" s="45"/>
      <c r="P45" s="48" t="s">
        <v>125</v>
      </c>
    </row>
    <row r="46" spans="1:16" ht="15.75" customHeight="1" x14ac:dyDescent="0.25"/>
    <row r="47" spans="1:16" ht="15.75" customHeight="1" x14ac:dyDescent="0.3">
      <c r="O47" s="23" t="s">
        <v>126</v>
      </c>
      <c r="P47" s="24" t="s">
        <v>127</v>
      </c>
    </row>
    <row r="48" spans="1:16" ht="15.75" customHeight="1" x14ac:dyDescent="0.25"/>
    <row r="49" spans="15:16" ht="15.75" customHeight="1" x14ac:dyDescent="0.25">
      <c r="O49" s="47" t="s">
        <v>128</v>
      </c>
      <c r="P49" s="44" t="s">
        <v>129</v>
      </c>
    </row>
    <row r="50" spans="15:16" ht="15.75" customHeight="1" x14ac:dyDescent="0.25">
      <c r="O50" s="45"/>
      <c r="P50" s="48" t="s">
        <v>131</v>
      </c>
    </row>
    <row r="51" spans="15:16" ht="15.75" customHeight="1" x14ac:dyDescent="0.25"/>
    <row r="52" spans="15:16" ht="15.75" customHeight="1" x14ac:dyDescent="0.3">
      <c r="O52" s="47" t="s">
        <v>132</v>
      </c>
      <c r="P52" s="44" t="s">
        <v>134</v>
      </c>
    </row>
    <row r="53" spans="15:16" ht="15.75" customHeight="1" x14ac:dyDescent="0.25">
      <c r="O53" s="45"/>
      <c r="P53" s="51" t="s">
        <v>133</v>
      </c>
    </row>
    <row r="54" spans="15:16" ht="15.75" customHeight="1" x14ac:dyDescent="0.25"/>
    <row r="55" spans="15:16" ht="15.75" customHeight="1" x14ac:dyDescent="0.25"/>
    <row r="56" spans="15:16" ht="15.75" customHeight="1" x14ac:dyDescent="0.25"/>
    <row r="57" spans="15:16" ht="15.75" customHeight="1" x14ac:dyDescent="0.25"/>
    <row r="58" spans="15:16" ht="15.75" customHeight="1" x14ac:dyDescent="0.25"/>
    <row r="59" spans="15:16" ht="15.75" customHeight="1" x14ac:dyDescent="0.25"/>
    <row r="60" spans="15:16" ht="15.75" customHeight="1" x14ac:dyDescent="0.25"/>
    <row r="61" spans="15:16" ht="15.75" customHeight="1" x14ac:dyDescent="0.25"/>
    <row r="62" spans="15:16" ht="15.75" customHeight="1" x14ac:dyDescent="0.25"/>
    <row r="63" spans="15:16" ht="15.75" customHeight="1" x14ac:dyDescent="0.25"/>
    <row r="64" spans="15:16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honeticPr fontId="19" type="noConversion"/>
  <conditionalFormatting sqref="J1:J1048576">
    <cfRule type="colorScale" priority="8">
      <colorScale>
        <cfvo type="min"/>
        <cfvo type="max"/>
        <color rgb="FFFFEF9C"/>
        <color rgb="FF63BE7B"/>
      </colorScale>
    </cfRule>
    <cfRule type="colorScale" priority="3">
      <colorScale>
        <cfvo type="min"/>
        <cfvo type="max"/>
        <color rgb="FFFF7128"/>
        <color theme="7" tint="0.39997558519241921"/>
      </colorScale>
    </cfRule>
    <cfRule type="colorScale" priority="2">
      <colorScale>
        <cfvo type="min"/>
        <cfvo type="max"/>
        <color rgb="FFFF0000"/>
        <color rgb="FF00B050"/>
      </colorScale>
    </cfRule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K1:K1048576">
    <cfRule type="cellIs" dxfId="4" priority="5" operator="equal">
      <formula>"Electronics"</formula>
    </cfRule>
    <cfRule type="cellIs" dxfId="3" priority="4" operator="equal">
      <formula>"Electronics"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9227C3D-7DA7-45CF-8DBC-2F6DA32B023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VENKADESH K</cp:lastModifiedBy>
  <dcterms:modified xsi:type="dcterms:W3CDTF">2026-07-05T19:08:49Z</dcterms:modified>
</cp:coreProperties>
</file>